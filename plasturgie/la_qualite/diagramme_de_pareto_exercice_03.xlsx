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enoncé" sheetId="1" r:id="rId1"/>
    <sheet name="correction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E9" i="2"/>
  <c r="E10" s="1"/>
  <c r="E11" s="1"/>
  <c r="E12" s="1"/>
  <c r="E13" s="1"/>
  <c r="E14" s="1"/>
  <c r="E8"/>
  <c r="E7"/>
  <c r="E6"/>
  <c r="D14"/>
  <c r="D13"/>
  <c r="D12"/>
  <c r="D11"/>
  <c r="D10"/>
  <c r="D9"/>
  <c r="D8"/>
  <c r="D7"/>
  <c r="D6"/>
  <c r="C15"/>
</calcChain>
</file>

<file path=xl/sharedStrings.xml><?xml version="1.0" encoding="utf-8"?>
<sst xmlns="http://schemas.openxmlformats.org/spreadsheetml/2006/main" count="36" uniqueCount="25">
  <si>
    <t>point de couleur</t>
  </si>
  <si>
    <t>incomplet</t>
  </si>
  <si>
    <t>déformation</t>
  </si>
  <si>
    <t>givrage</t>
  </si>
  <si>
    <t>bavure</t>
  </si>
  <si>
    <t>bulle</t>
  </si>
  <si>
    <t>retassure</t>
  </si>
  <si>
    <t>rayure</t>
  </si>
  <si>
    <t>ligne de soudure apparente</t>
  </si>
  <si>
    <t>défauts relevés</t>
  </si>
  <si>
    <t>nombre de rebuts</t>
  </si>
  <si>
    <t>% de rebuts</t>
  </si>
  <si>
    <t>% cumulé de rebuts</t>
  </si>
  <si>
    <t xml:space="preserve"> </t>
  </si>
  <si>
    <t>Repère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</si>
  <si>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</si>
  <si>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</si>
  <si>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</si>
  <si>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</si>
  <si>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</si>
  <si>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</si>
  <si>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</si>
  <si>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</si>
  <si>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</si>
  <si>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TOTAL</t>
  </si>
</sst>
</file>

<file path=xl/styles.xml><?xml version="1.0" encoding="utf-8"?>
<styleSheet xmlns="http://schemas.openxmlformats.org/spreadsheetml/2006/main">
  <numFmts count="1">
    <numFmt numFmtId="169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3" xfId="0" applyFill="1" applyBorder="1" applyAlignment="1"/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4"/>
  <c:chart>
    <c:plotArea>
      <c:layout/>
      <c:barChart>
        <c:barDir val="col"/>
        <c:grouping val="clustered"/>
        <c:ser>
          <c:idx val="0"/>
          <c:order val="0"/>
          <c:cat>
            <c:strRef>
              <c:f>correction!$A$6:$A$14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correction!$E$6:$E$14</c:f>
              <c:numCache>
                <c:formatCode>0.0</c:formatCode>
                <c:ptCount val="9"/>
                <c:pt idx="0">
                  <c:v>26.666666666666668</c:v>
                </c:pt>
                <c:pt idx="1">
                  <c:v>49.833333333333336</c:v>
                </c:pt>
                <c:pt idx="2">
                  <c:v>69</c:v>
                </c:pt>
                <c:pt idx="3">
                  <c:v>86.166666666666671</c:v>
                </c:pt>
                <c:pt idx="4">
                  <c:v>92.083333333333343</c:v>
                </c:pt>
                <c:pt idx="5">
                  <c:v>95.750000000000014</c:v>
                </c:pt>
                <c:pt idx="6">
                  <c:v>98.083333333333343</c:v>
                </c:pt>
                <c:pt idx="7">
                  <c:v>99.666666666666671</c:v>
                </c:pt>
                <c:pt idx="8">
                  <c:v>100</c:v>
                </c:pt>
              </c:numCache>
            </c:numRef>
          </c:val>
        </c:ser>
        <c:axId val="167876096"/>
        <c:axId val="168422400"/>
      </c:barChart>
      <c:catAx>
        <c:axId val="167876096"/>
        <c:scaling>
          <c:orientation val="minMax"/>
        </c:scaling>
        <c:axPos val="b"/>
        <c:tickLblPos val="nextTo"/>
        <c:crossAx val="168422400"/>
        <c:crosses val="autoZero"/>
        <c:auto val="1"/>
        <c:lblAlgn val="ctr"/>
        <c:lblOffset val="100"/>
      </c:catAx>
      <c:valAx>
        <c:axId val="168422400"/>
        <c:scaling>
          <c:orientation val="minMax"/>
        </c:scaling>
        <c:axPos val="l"/>
        <c:majorGridlines/>
        <c:numFmt formatCode="0.0" sourceLinked="1"/>
        <c:tickLblPos val="nextTo"/>
        <c:crossAx val="16787609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5"/>
  <c:chart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correction!$A$6:$A$14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</c:strCache>
            </c:strRef>
          </c:cat>
          <c:val>
            <c:numRef>
              <c:f>correction!$E$6:$E$14</c:f>
              <c:numCache>
                <c:formatCode>0.0</c:formatCode>
                <c:ptCount val="9"/>
                <c:pt idx="0">
                  <c:v>26.666666666666668</c:v>
                </c:pt>
                <c:pt idx="1">
                  <c:v>49.833333333333336</c:v>
                </c:pt>
                <c:pt idx="2">
                  <c:v>69</c:v>
                </c:pt>
                <c:pt idx="3">
                  <c:v>86.166666666666671</c:v>
                </c:pt>
                <c:pt idx="4">
                  <c:v>92.083333333333343</c:v>
                </c:pt>
                <c:pt idx="5">
                  <c:v>95.750000000000014</c:v>
                </c:pt>
                <c:pt idx="6">
                  <c:v>98.083333333333343</c:v>
                </c:pt>
                <c:pt idx="7">
                  <c:v>99.666666666666671</c:v>
                </c:pt>
                <c:pt idx="8">
                  <c:v>100</c:v>
                </c:pt>
              </c:numCache>
            </c:numRef>
          </c:val>
        </c:ser>
        <c:marker val="1"/>
        <c:axId val="170315776"/>
        <c:axId val="170318848"/>
      </c:lineChart>
      <c:catAx>
        <c:axId val="170315776"/>
        <c:scaling>
          <c:orientation val="minMax"/>
        </c:scaling>
        <c:axPos val="b"/>
        <c:tickLblPos val="nextTo"/>
        <c:crossAx val="170318848"/>
        <c:crosses val="autoZero"/>
        <c:auto val="1"/>
        <c:lblAlgn val="ctr"/>
        <c:lblOffset val="100"/>
      </c:catAx>
      <c:valAx>
        <c:axId val="170318848"/>
        <c:scaling>
          <c:orientation val="minMax"/>
        </c:scaling>
        <c:axPos val="l"/>
        <c:majorGridlines/>
        <c:numFmt formatCode="0.0" sourceLinked="1"/>
        <c:tickLblPos val="nextTo"/>
        <c:crossAx val="170315776"/>
        <c:crosses val="autoZero"/>
        <c:crossBetween val="between"/>
      </c:valAx>
      <c:spPr>
        <a:noFill/>
      </c:spPr>
    </c:plotArea>
    <c:plotVisOnly val="1"/>
  </c:chart>
  <c:spPr>
    <a:noFill/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921195" cy="618631"/>
    <xdr:sp macro="" textlink="">
      <xdr:nvSpPr>
        <xdr:cNvPr id="2" name="ZoneTexte 1"/>
        <xdr:cNvSpPr txBox="1"/>
      </xdr:nvSpPr>
      <xdr:spPr>
        <a:xfrm>
          <a:off x="0" y="190500"/>
          <a:ext cx="10921195" cy="618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fr-FR" sz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Afin d’améliorer le TRS (taux de rendement synthétique), on vous demande d’identifier les principales causes ayant produit les rebuts de moulage de la bride.</a:t>
          </a:r>
        </a:p>
        <a:p>
          <a:r>
            <a:rPr lang="fr-FR" sz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Voici le relevé du dernier mois de production:</a:t>
          </a:r>
        </a:p>
        <a:p>
          <a:endParaRPr lang="fr-FR" sz="1100"/>
        </a:p>
      </xdr:txBody>
    </xdr:sp>
    <xdr:clientData/>
  </xdr:oneCellAnchor>
  <xdr:oneCellAnchor>
    <xdr:from>
      <xdr:col>0</xdr:col>
      <xdr:colOff>0</xdr:colOff>
      <xdr:row>17</xdr:row>
      <xdr:rowOff>171260</xdr:rowOff>
    </xdr:from>
    <xdr:ext cx="13436050" cy="618631"/>
    <xdr:sp macro="" textlink="">
      <xdr:nvSpPr>
        <xdr:cNvPr id="3" name="ZoneTexte 2"/>
        <xdr:cNvSpPr txBox="1"/>
      </xdr:nvSpPr>
      <xdr:spPr>
        <a:xfrm>
          <a:off x="0" y="3409760"/>
          <a:ext cx="13436050" cy="618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fr-FR" sz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On vous demande de mettre en œuvre l’outil Pareto afin de mettre en évidence les principaux défauts sur lesquels il faudra agir pour diminuer significativement les pertes de temps de production.</a:t>
          </a:r>
        </a:p>
        <a:p>
          <a:r>
            <a:rPr lang="fr-FR" sz="12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 </a:t>
          </a:r>
        </a:p>
        <a:p>
          <a:endParaRPr lang="fr-F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19500</xdr:rowOff>
    </xdr:from>
    <xdr:to>
      <xdr:col>4</xdr:col>
      <xdr:colOff>1443225</xdr:colOff>
      <xdr:row>38</xdr:row>
      <xdr:rowOff>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19500</xdr:rowOff>
    </xdr:from>
    <xdr:to>
      <xdr:col>4</xdr:col>
      <xdr:colOff>1443225</xdr:colOff>
      <xdr:row>38</xdr:row>
      <xdr:rowOff>0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552450</xdr:colOff>
      <xdr:row>29</xdr:row>
      <xdr:rowOff>46037</xdr:rowOff>
    </xdr:from>
    <xdr:to>
      <xdr:col>1</xdr:col>
      <xdr:colOff>1730375</xdr:colOff>
      <xdr:row>29</xdr:row>
      <xdr:rowOff>47625</xdr:rowOff>
    </xdr:to>
    <xdr:cxnSp macro="">
      <xdr:nvCxnSpPr>
        <xdr:cNvPr id="20" name="Connecteur droit 19"/>
        <xdr:cNvCxnSpPr/>
      </xdr:nvCxnSpPr>
      <xdr:spPr>
        <a:xfrm>
          <a:off x="1314450" y="4427537"/>
          <a:ext cx="1177925" cy="1588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127000</xdr:colOff>
      <xdr:row>28</xdr:row>
      <xdr:rowOff>103188</xdr:rowOff>
    </xdr:from>
    <xdr:ext cx="762000" cy="280205"/>
    <xdr:sp macro="" textlink="">
      <xdr:nvSpPr>
        <xdr:cNvPr id="25" name="ZoneTexte 24"/>
        <xdr:cNvSpPr txBox="1"/>
      </xdr:nvSpPr>
      <xdr:spPr>
        <a:xfrm>
          <a:off x="889000" y="4294188"/>
          <a:ext cx="76200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fr-FR" sz="1200" b="1"/>
            <a:t>50 %</a:t>
          </a:r>
        </a:p>
      </xdr:txBody>
    </xdr:sp>
    <xdr:clientData/>
  </xdr:oneCellAnchor>
  <xdr:oneCellAnchor>
    <xdr:from>
      <xdr:col>2</xdr:col>
      <xdr:colOff>0</xdr:colOff>
      <xdr:row>43</xdr:row>
      <xdr:rowOff>0</xdr:rowOff>
    </xdr:from>
    <xdr:ext cx="5080000" cy="264560"/>
    <xdr:sp macro="" textlink="">
      <xdr:nvSpPr>
        <xdr:cNvPr id="26" name="ZoneTexte 25"/>
        <xdr:cNvSpPr txBox="1"/>
      </xdr:nvSpPr>
      <xdr:spPr>
        <a:xfrm>
          <a:off x="2754313" y="6858000"/>
          <a:ext cx="5080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4675188" cy="2675732"/>
    <xdr:sp macro="" textlink="">
      <xdr:nvSpPr>
        <xdr:cNvPr id="27" name="ZoneTexte 26"/>
        <xdr:cNvSpPr txBox="1"/>
      </xdr:nvSpPr>
      <xdr:spPr>
        <a:xfrm>
          <a:off x="762000" y="6477000"/>
          <a:ext cx="4675188" cy="2675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fr-FR" sz="1100"/>
            <a:t>A et B ensembles assurent 50% des rebuts.</a:t>
          </a:r>
        </a:p>
        <a:p>
          <a:endParaRPr lang="fr-FR" sz="1100"/>
        </a:p>
        <a:p>
          <a:r>
            <a:rPr lang="fr-FR" sz="1100"/>
            <a:t>les causes de A (incomplet):</a:t>
          </a:r>
        </a:p>
        <a:p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     - Température de la matière trop basse (si commutation par pression)</a:t>
          </a:r>
          <a:r>
            <a:rPr lang="fr-FR"/>
            <a:t/>
          </a:r>
          <a:br>
            <a:rPr lang="fr-FR"/>
          </a:br>
          <a:r>
            <a:rPr lang="fr-FR"/>
            <a:t>     </a:t>
          </a:r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- Dosage irrégulier</a:t>
          </a:r>
          <a:r>
            <a:rPr lang="fr-FR"/>
            <a:t/>
          </a:r>
          <a:br>
            <a:rPr lang="fr-FR"/>
          </a:br>
          <a:r>
            <a:rPr lang="fr-FR"/>
            <a:t>     </a:t>
          </a:r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- Commutation trop tôt</a:t>
          </a:r>
          <a:r>
            <a:rPr lang="fr-FR"/>
            <a:t/>
          </a:r>
          <a:br>
            <a:rPr lang="fr-FR"/>
          </a:br>
          <a:r>
            <a:rPr lang="fr-FR"/>
            <a:t>     </a:t>
          </a:r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- Seuil d’injection partiellement obturé</a:t>
          </a:r>
          <a:r>
            <a:rPr lang="fr-FR"/>
            <a:t/>
          </a:r>
          <a:br>
            <a:rPr lang="fr-FR"/>
          </a:br>
          <a:r>
            <a:rPr lang="fr-FR"/>
            <a:t>     </a:t>
          </a:r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- Fuite entre buse moule/buse machine</a:t>
          </a:r>
          <a:r>
            <a:rPr lang="fr-FR"/>
            <a:t/>
          </a:r>
          <a:br>
            <a:rPr lang="fr-FR"/>
          </a:br>
          <a:r>
            <a:rPr lang="fr-FR"/>
            <a:t>     </a:t>
          </a:r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- Events bouchés</a:t>
          </a:r>
        </a:p>
        <a:p>
          <a:endParaRPr lang="fr-FR" sz="1100" b="0" i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Les causes de B (givrage):</a:t>
          </a:r>
        </a:p>
        <a:p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     - Humidité dans la matière (mauvais étuvage)</a:t>
          </a:r>
        </a:p>
        <a:p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     - T° pied de trémie trop faible.</a:t>
          </a:r>
          <a:r>
            <a:rPr lang="fr-FR"/>
            <a:t/>
          </a:r>
          <a:br>
            <a:rPr lang="fr-FR"/>
          </a:br>
          <a:r>
            <a:rPr lang="fr-FR"/>
            <a:t>     </a:t>
          </a:r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- Décompression trop importante</a:t>
          </a:r>
          <a:r>
            <a:rPr lang="fr-FR"/>
            <a:t/>
          </a:r>
          <a:br>
            <a:rPr lang="fr-FR"/>
          </a:br>
          <a:r>
            <a:rPr lang="fr-FR"/>
            <a:t>     </a:t>
          </a:r>
          <a:r>
            <a:rPr lang="fr-FR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- Contre pression trop faible </a:t>
          </a:r>
          <a:endParaRPr lang="fr-FR" sz="1100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4000006" cy="441596"/>
    <xdr:sp macro="" textlink="">
      <xdr:nvSpPr>
        <xdr:cNvPr id="28" name="ZoneTexte 27"/>
        <xdr:cNvSpPr txBox="1"/>
      </xdr:nvSpPr>
      <xdr:spPr>
        <a:xfrm>
          <a:off x="0" y="0"/>
          <a:ext cx="4000006" cy="441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>
              <a:solidFill>
                <a:srgbClr val="FF0000"/>
              </a:solidFill>
              <a:latin typeface="Arial" pitchFamily="34" charset="0"/>
              <a:ea typeface="+mn-ea"/>
              <a:cs typeface="Arial" pitchFamily="34" charset="0"/>
            </a:rPr>
            <a:t>Pour cela, vous devrez compléter le tableau ci-dessous:</a:t>
          </a:r>
          <a:endParaRPr lang="fr-FR" sz="12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  <a:p>
          <a:endParaRPr lang="fr-FR" sz="1100"/>
        </a:p>
      </xdr:txBody>
    </xdr:sp>
    <xdr:clientData/>
  </xdr:oneCellAnchor>
  <xdr:oneCellAnchor>
    <xdr:from>
      <xdr:col>0</xdr:col>
      <xdr:colOff>0</xdr:colOff>
      <xdr:row>16</xdr:row>
      <xdr:rowOff>0</xdr:rowOff>
    </xdr:from>
    <xdr:ext cx="4547592" cy="441596"/>
    <xdr:sp macro="" textlink="">
      <xdr:nvSpPr>
        <xdr:cNvPr id="29" name="ZoneTexte 28"/>
        <xdr:cNvSpPr txBox="1"/>
      </xdr:nvSpPr>
      <xdr:spPr>
        <a:xfrm>
          <a:off x="0" y="3048000"/>
          <a:ext cx="4547592" cy="441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>
              <a:solidFill>
                <a:srgbClr val="FF0000"/>
              </a:solidFill>
              <a:latin typeface="Arial" pitchFamily="34" charset="0"/>
              <a:ea typeface="+mn-ea"/>
              <a:cs typeface="Arial" pitchFamily="34" charset="0"/>
            </a:rPr>
            <a:t>Réaliser le graphique cumulé croissant à partir de votre tableau.</a:t>
          </a:r>
        </a:p>
        <a:p>
          <a:endParaRPr lang="fr-FR" sz="1100"/>
        </a:p>
      </xdr:txBody>
    </xdr:sp>
    <xdr:clientData/>
  </xdr:oneCellAnchor>
  <xdr:oneCellAnchor>
    <xdr:from>
      <xdr:col>0</xdr:col>
      <xdr:colOff>0</xdr:colOff>
      <xdr:row>39</xdr:row>
      <xdr:rowOff>0</xdr:rowOff>
    </xdr:from>
    <xdr:ext cx="8637557" cy="441596"/>
    <xdr:sp macro="" textlink="">
      <xdr:nvSpPr>
        <xdr:cNvPr id="30" name="ZoneTexte 29"/>
        <xdr:cNvSpPr txBox="1"/>
      </xdr:nvSpPr>
      <xdr:spPr>
        <a:xfrm>
          <a:off x="0" y="7429500"/>
          <a:ext cx="8637557" cy="441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>
              <a:solidFill>
                <a:srgbClr val="FF0000"/>
              </a:solidFill>
              <a:latin typeface="Arial" pitchFamily="34" charset="0"/>
              <a:ea typeface="+mn-ea"/>
              <a:cs typeface="Arial" pitchFamily="34" charset="0"/>
            </a:rPr>
            <a:t>Sur quel défaut faut-il agir en priorité? Pour chaque défaut proposer une cause possible ainsi qu’une solution pour l’éliminer.</a:t>
          </a:r>
        </a:p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B16"/>
  <sheetViews>
    <sheetView workbookViewId="0">
      <selection activeCell="D16" sqref="D16"/>
    </sheetView>
  </sheetViews>
  <sheetFormatPr baseColWidth="10" defaultRowHeight="15"/>
  <cols>
    <col min="1" max="1" width="28.85546875" customWidth="1"/>
    <col min="2" max="2" width="20.28515625" customWidth="1"/>
  </cols>
  <sheetData>
    <row r="7" spans="1:2">
      <c r="A7" s="3" t="s">
        <v>9</v>
      </c>
      <c r="B7" s="3" t="s">
        <v>10</v>
      </c>
    </row>
    <row r="8" spans="1:2">
      <c r="A8" s="1" t="s">
        <v>0</v>
      </c>
      <c r="B8" s="1">
        <v>28</v>
      </c>
    </row>
    <row r="9" spans="1:2">
      <c r="A9" s="1" t="s">
        <v>1</v>
      </c>
      <c r="B9" s="1">
        <v>320</v>
      </c>
    </row>
    <row r="10" spans="1:2">
      <c r="A10" s="1" t="s">
        <v>2</v>
      </c>
      <c r="B10" s="1">
        <v>44</v>
      </c>
    </row>
    <row r="11" spans="1:2">
      <c r="A11" s="1" t="s">
        <v>3</v>
      </c>
      <c r="B11" s="1">
        <v>278</v>
      </c>
    </row>
    <row r="12" spans="1:2">
      <c r="A12" s="1" t="s">
        <v>4</v>
      </c>
      <c r="B12" s="1">
        <v>71</v>
      </c>
    </row>
    <row r="13" spans="1:2">
      <c r="A13" s="1" t="s">
        <v>5</v>
      </c>
      <c r="B13" s="1">
        <v>4</v>
      </c>
    </row>
    <row r="14" spans="1:2">
      <c r="A14" s="1" t="s">
        <v>6</v>
      </c>
      <c r="B14" s="1">
        <v>230</v>
      </c>
    </row>
    <row r="15" spans="1:2">
      <c r="A15" s="1" t="s">
        <v>7</v>
      </c>
      <c r="B15" s="1">
        <v>19</v>
      </c>
    </row>
    <row r="16" spans="1:2">
      <c r="A16" s="1" t="s">
        <v>8</v>
      </c>
      <c r="B16" s="1">
        <v>206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E20"/>
  <sheetViews>
    <sheetView tabSelected="1" topLeftCell="A34" zoomScale="120" zoomScaleNormal="120" workbookViewId="0">
      <selection activeCell="E6" sqref="E6"/>
    </sheetView>
  </sheetViews>
  <sheetFormatPr baseColWidth="10" defaultRowHeight="15"/>
  <cols>
    <col min="2" max="2" width="29.85546875" customWidth="1"/>
    <col min="3" max="3" width="18.5703125" customWidth="1"/>
    <col min="4" max="4" width="21.7109375" customWidth="1"/>
    <col min="5" max="5" width="24.5703125" customWidth="1"/>
    <col min="7" max="8" width="7.140625" customWidth="1"/>
  </cols>
  <sheetData>
    <row r="4" spans="1:5">
      <c r="A4" s="5" t="s">
        <v>14</v>
      </c>
      <c r="B4" s="5" t="s">
        <v>9</v>
      </c>
      <c r="C4" s="5" t="s">
        <v>10</v>
      </c>
      <c r="D4" s="5" t="s">
        <v>11</v>
      </c>
      <c r="E4" s="5" t="s">
        <v>12</v>
      </c>
    </row>
    <row r="5" spans="1:5">
      <c r="A5" s="8"/>
      <c r="B5" s="6"/>
      <c r="C5" s="6"/>
      <c r="D5" s="6"/>
      <c r="E5" s="6"/>
    </row>
    <row r="6" spans="1:5">
      <c r="A6" s="1" t="s">
        <v>15</v>
      </c>
      <c r="B6" s="1" t="s">
        <v>1</v>
      </c>
      <c r="C6" s="1">
        <v>320</v>
      </c>
      <c r="D6" s="4">
        <f>C6*100/C$15</f>
        <v>26.666666666666668</v>
      </c>
      <c r="E6" s="4">
        <f>D6+E5</f>
        <v>26.666666666666668</v>
      </c>
    </row>
    <row r="7" spans="1:5">
      <c r="A7" s="1" t="s">
        <v>16</v>
      </c>
      <c r="B7" s="1" t="s">
        <v>3</v>
      </c>
      <c r="C7" s="1">
        <v>278</v>
      </c>
      <c r="D7" s="4">
        <f t="shared" ref="D7:D14" si="0">C7*100/C$15</f>
        <v>23.166666666666668</v>
      </c>
      <c r="E7" s="4">
        <f t="shared" ref="E7:E14" si="1">D7+E6</f>
        <v>49.833333333333336</v>
      </c>
    </row>
    <row r="8" spans="1:5">
      <c r="A8" s="1" t="s">
        <v>17</v>
      </c>
      <c r="B8" s="1" t="s">
        <v>6</v>
      </c>
      <c r="C8" s="1">
        <v>230</v>
      </c>
      <c r="D8" s="4">
        <f t="shared" si="0"/>
        <v>19.166666666666668</v>
      </c>
      <c r="E8" s="4">
        <f t="shared" si="1"/>
        <v>69</v>
      </c>
    </row>
    <row r="9" spans="1:5">
      <c r="A9" s="1" t="s">
        <v>18</v>
      </c>
      <c r="B9" s="1" t="s">
        <v>8</v>
      </c>
      <c r="C9" s="1">
        <v>206</v>
      </c>
      <c r="D9" s="4">
        <f t="shared" si="0"/>
        <v>17.166666666666668</v>
      </c>
      <c r="E9" s="4">
        <f t="shared" si="1"/>
        <v>86.166666666666671</v>
      </c>
    </row>
    <row r="10" spans="1:5">
      <c r="A10" s="1" t="s">
        <v>19</v>
      </c>
      <c r="B10" s="1" t="s">
        <v>4</v>
      </c>
      <c r="C10" s="1">
        <v>71</v>
      </c>
      <c r="D10" s="4">
        <f t="shared" si="0"/>
        <v>5.916666666666667</v>
      </c>
      <c r="E10" s="4">
        <f t="shared" si="1"/>
        <v>92.083333333333343</v>
      </c>
    </row>
    <row r="11" spans="1:5">
      <c r="A11" s="1" t="s">
        <v>20</v>
      </c>
      <c r="B11" s="1" t="s">
        <v>2</v>
      </c>
      <c r="C11" s="1">
        <v>44</v>
      </c>
      <c r="D11" s="4">
        <f t="shared" si="0"/>
        <v>3.6666666666666665</v>
      </c>
      <c r="E11" s="4">
        <f t="shared" si="1"/>
        <v>95.750000000000014</v>
      </c>
    </row>
    <row r="12" spans="1:5">
      <c r="A12" s="1" t="s">
        <v>21</v>
      </c>
      <c r="B12" s="1" t="s">
        <v>0</v>
      </c>
      <c r="C12" s="1">
        <v>28</v>
      </c>
      <c r="D12" s="4">
        <f t="shared" si="0"/>
        <v>2.3333333333333335</v>
      </c>
      <c r="E12" s="4">
        <f t="shared" si="1"/>
        <v>98.083333333333343</v>
      </c>
    </row>
    <row r="13" spans="1:5">
      <c r="A13" s="1" t="s">
        <v>22</v>
      </c>
      <c r="B13" s="1" t="s">
        <v>7</v>
      </c>
      <c r="C13" s="1">
        <v>19</v>
      </c>
      <c r="D13" s="4">
        <f t="shared" si="0"/>
        <v>1.5833333333333333</v>
      </c>
      <c r="E13" s="4">
        <f t="shared" si="1"/>
        <v>99.666666666666671</v>
      </c>
    </row>
    <row r="14" spans="1:5">
      <c r="A14" s="1" t="s">
        <v>23</v>
      </c>
      <c r="B14" s="1" t="s">
        <v>5</v>
      </c>
      <c r="C14" s="1">
        <v>4</v>
      </c>
      <c r="D14" s="4">
        <f t="shared" si="0"/>
        <v>0.33333333333333331</v>
      </c>
      <c r="E14" s="4">
        <f t="shared" si="1"/>
        <v>100</v>
      </c>
    </row>
    <row r="15" spans="1:5">
      <c r="B15" s="7" t="s">
        <v>24</v>
      </c>
      <c r="C15" s="2">
        <f xml:space="preserve"> SUM(C6:C14)</f>
        <v>1200</v>
      </c>
    </row>
    <row r="16" spans="1:5">
      <c r="B16" s="9"/>
      <c r="C16" s="10"/>
    </row>
    <row r="17" spans="2:4">
      <c r="B17" s="9"/>
      <c r="C17" s="10"/>
    </row>
    <row r="18" spans="2:4">
      <c r="B18" s="9"/>
      <c r="C18" s="10"/>
    </row>
    <row r="20" spans="2:4">
      <c r="D20" t="s">
        <v>13</v>
      </c>
    </row>
  </sheetData>
  <sortState ref="B2:E10">
    <sortCondition descending="1" ref="C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enoncé</vt:lpstr>
      <vt:lpstr>correction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steph</cp:lastModifiedBy>
  <dcterms:created xsi:type="dcterms:W3CDTF">2024-02-10T08:23:35Z</dcterms:created>
  <dcterms:modified xsi:type="dcterms:W3CDTF">2024-02-10T09:42:36Z</dcterms:modified>
</cp:coreProperties>
</file>