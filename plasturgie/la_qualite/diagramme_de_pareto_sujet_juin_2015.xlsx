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345" windowWidth="19815" windowHeight="7665" activeTab="1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F7" i="2"/>
  <c r="F8" s="1"/>
  <c r="F9" s="1"/>
  <c r="F10" s="1"/>
  <c r="F11" s="1"/>
  <c r="F12" s="1"/>
  <c r="F6"/>
  <c r="E12"/>
  <c r="E11"/>
  <c r="E10"/>
  <c r="E9"/>
  <c r="E8"/>
  <c r="E7"/>
  <c r="E6"/>
  <c r="D13"/>
</calcChain>
</file>

<file path=xl/sharedStrings.xml><?xml version="1.0" encoding="utf-8"?>
<sst xmlns="http://schemas.openxmlformats.org/spreadsheetml/2006/main" count="41" uniqueCount="24">
  <si>
    <t>Repère du défaut</t>
  </si>
  <si>
    <t>Nature du défaut</t>
  </si>
  <si>
    <t>Nombre</t>
  </si>
  <si>
    <t>A</t>
  </si>
  <si>
    <t>Mauvaise cuisson</t>
  </si>
  <si>
    <t>B</t>
  </si>
  <si>
    <t>Reste de film</t>
  </si>
  <si>
    <t>C</t>
  </si>
  <si>
    <t>Déformation après démoulage</t>
  </si>
  <si>
    <t>D</t>
  </si>
  <si>
    <t>Non-respect du plan de drapage</t>
  </si>
  <si>
    <t>E</t>
  </si>
  <si>
    <t>Rupture de linéarité de fibre</t>
  </si>
  <si>
    <t>F</t>
  </si>
  <si>
    <t>Porosité excessive</t>
  </si>
  <si>
    <t>G</t>
  </si>
  <si>
    <t>Mauvais détourage</t>
  </si>
  <si>
    <t>%</t>
  </si>
  <si>
    <t>% cumulé</t>
  </si>
  <si>
    <t>Arrondir au plus près
2 chiffres après la virgule</t>
  </si>
  <si>
    <t>Les défauts qui occasionnent au moins 80% des rebuts de production sont:</t>
  </si>
  <si>
    <t>E     Rupture de linéarité de fibre</t>
  </si>
  <si>
    <t>B     reste de film</t>
  </si>
  <si>
    <t>D    Non-respect du plan de drapage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</si>
</sst>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4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3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indent="4"/>
    </xf>
    <xf numFmtId="0" fontId="2" fillId="3" borderId="7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2" fontId="5" fillId="3" borderId="1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barChart>
        <c:barDir val="col"/>
        <c:grouping val="stacked"/>
        <c:ser>
          <c:idx val="0"/>
          <c:order val="0"/>
          <c:cat>
            <c:strRef>
              <c:f>Feuil2!$B$6:$B$12</c:f>
              <c:strCache>
                <c:ptCount val="7"/>
                <c:pt idx="0">
                  <c:v>B</c:v>
                </c:pt>
                <c:pt idx="1">
                  <c:v>E</c:v>
                </c:pt>
                <c:pt idx="2">
                  <c:v>D</c:v>
                </c:pt>
                <c:pt idx="3">
                  <c:v>G</c:v>
                </c:pt>
                <c:pt idx="4">
                  <c:v>C</c:v>
                </c:pt>
                <c:pt idx="5">
                  <c:v>F</c:v>
                </c:pt>
                <c:pt idx="6">
                  <c:v>A</c:v>
                </c:pt>
              </c:strCache>
            </c:strRef>
          </c:cat>
          <c:val>
            <c:numRef>
              <c:f>Feuil2!$F$6:$F$12</c:f>
              <c:numCache>
                <c:formatCode>0.00</c:formatCode>
                <c:ptCount val="7"/>
                <c:pt idx="0">
                  <c:v>37.5</c:v>
                </c:pt>
                <c:pt idx="1">
                  <c:v>55.555555555555557</c:v>
                </c:pt>
                <c:pt idx="2">
                  <c:v>71.666666666666671</c:v>
                </c:pt>
                <c:pt idx="3">
                  <c:v>84.166666666666671</c:v>
                </c:pt>
                <c:pt idx="4">
                  <c:v>90</c:v>
                </c:pt>
                <c:pt idx="5">
                  <c:v>95.277777777777771</c:v>
                </c:pt>
                <c:pt idx="6">
                  <c:v>100</c:v>
                </c:pt>
              </c:numCache>
            </c:numRef>
          </c:val>
        </c:ser>
        <c:overlap val="100"/>
        <c:axId val="57850496"/>
        <c:axId val="57864576"/>
      </c:barChart>
      <c:catAx>
        <c:axId val="57850496"/>
        <c:scaling>
          <c:orientation val="minMax"/>
        </c:scaling>
        <c:axPos val="b"/>
        <c:tickLblPos val="nextTo"/>
        <c:crossAx val="57864576"/>
        <c:crosses val="autoZero"/>
        <c:auto val="1"/>
        <c:lblAlgn val="ctr"/>
        <c:lblOffset val="100"/>
      </c:catAx>
      <c:valAx>
        <c:axId val="57864576"/>
        <c:scaling>
          <c:orientation val="minMax"/>
          <c:max val="100"/>
        </c:scaling>
        <c:axPos val="l"/>
        <c:majorGridlines/>
        <c:numFmt formatCode="0.00" sourceLinked="1"/>
        <c:tickLblPos val="nextTo"/>
        <c:crossAx val="57850496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lineChart>
        <c:grouping val="standard"/>
        <c:ser>
          <c:idx val="2"/>
          <c:order val="0"/>
          <c:marker>
            <c:symbol val="none"/>
          </c:marker>
          <c:cat>
            <c:strRef>
              <c:f>Feuil2!$B$6:$B$12</c:f>
              <c:strCache>
                <c:ptCount val="7"/>
                <c:pt idx="0">
                  <c:v>B</c:v>
                </c:pt>
                <c:pt idx="1">
                  <c:v>E</c:v>
                </c:pt>
                <c:pt idx="2">
                  <c:v>D</c:v>
                </c:pt>
                <c:pt idx="3">
                  <c:v>G</c:v>
                </c:pt>
                <c:pt idx="4">
                  <c:v>C</c:v>
                </c:pt>
                <c:pt idx="5">
                  <c:v>F</c:v>
                </c:pt>
                <c:pt idx="6">
                  <c:v>A</c:v>
                </c:pt>
              </c:strCache>
            </c:strRef>
          </c:cat>
          <c:val>
            <c:numRef>
              <c:f>Feuil2!$F$6:$F$12</c:f>
              <c:numCache>
                <c:formatCode>0.00</c:formatCode>
                <c:ptCount val="7"/>
                <c:pt idx="0">
                  <c:v>37.5</c:v>
                </c:pt>
                <c:pt idx="1">
                  <c:v>55.555555555555557</c:v>
                </c:pt>
                <c:pt idx="2">
                  <c:v>71.666666666666671</c:v>
                </c:pt>
                <c:pt idx="3">
                  <c:v>84.166666666666671</c:v>
                </c:pt>
                <c:pt idx="4">
                  <c:v>90</c:v>
                </c:pt>
                <c:pt idx="5">
                  <c:v>95.277777777777771</c:v>
                </c:pt>
                <c:pt idx="6">
                  <c:v>100</c:v>
                </c:pt>
              </c:numCache>
            </c:numRef>
          </c:val>
        </c:ser>
        <c:marker val="1"/>
        <c:axId val="59476992"/>
        <c:axId val="59486976"/>
      </c:lineChart>
      <c:catAx>
        <c:axId val="59476992"/>
        <c:scaling>
          <c:orientation val="minMax"/>
        </c:scaling>
        <c:axPos val="b"/>
        <c:tickLblPos val="nextTo"/>
        <c:crossAx val="59486976"/>
        <c:crosses val="autoZero"/>
        <c:auto val="1"/>
        <c:lblAlgn val="ctr"/>
        <c:lblOffset val="100"/>
      </c:catAx>
      <c:valAx>
        <c:axId val="59486976"/>
        <c:scaling>
          <c:orientation val="minMax"/>
          <c:max val="100"/>
        </c:scaling>
        <c:axPos val="l"/>
        <c:majorGridlines/>
        <c:numFmt formatCode="0.00" sourceLinked="1"/>
        <c:tickLblPos val="nextTo"/>
        <c:crossAx val="59476992"/>
        <c:crosses val="autoZero"/>
        <c:crossBetween val="between"/>
      </c:valAx>
      <c:spPr>
        <a:noFill/>
      </c:spPr>
    </c:plotArea>
    <c:plotVisOnly val="1"/>
  </c:chart>
  <c:spPr>
    <a:noFill/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151606</xdr:colOff>
      <xdr:row>23</xdr:row>
      <xdr:rowOff>48419</xdr:rowOff>
    </xdr:from>
    <xdr:to>
      <xdr:col>3</xdr:col>
      <xdr:colOff>153194</xdr:colOff>
      <xdr:row>38</xdr:row>
      <xdr:rowOff>86519</xdr:rowOff>
    </xdr:to>
    <xdr:cxnSp macro="">
      <xdr:nvCxnSpPr>
        <xdr:cNvPr id="10" name="Connecteur droit 9"/>
        <xdr:cNvCxnSpPr/>
      </xdr:nvCxnSpPr>
      <xdr:spPr>
        <a:xfrm rot="5400000">
          <a:off x="3638550" y="6810375"/>
          <a:ext cx="2895600" cy="158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22</xdr:row>
      <xdr:rowOff>57150</xdr:rowOff>
    </xdr:from>
    <xdr:to>
      <xdr:col>1</xdr:col>
      <xdr:colOff>600075</xdr:colOff>
      <xdr:row>24</xdr:row>
      <xdr:rowOff>36635</xdr:rowOff>
    </xdr:to>
    <xdr:sp macro="" textlink="">
      <xdr:nvSpPr>
        <xdr:cNvPr id="16" name="Rectangle 15"/>
        <xdr:cNvSpPr/>
      </xdr:nvSpPr>
      <xdr:spPr>
        <a:xfrm>
          <a:off x="809625" y="5185996"/>
          <a:ext cx="552450" cy="3604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1</xdr:col>
      <xdr:colOff>600075</xdr:colOff>
      <xdr:row>23</xdr:row>
      <xdr:rowOff>46893</xdr:rowOff>
    </xdr:from>
    <xdr:to>
      <xdr:col>3</xdr:col>
      <xdr:colOff>153866</xdr:colOff>
      <xdr:row>23</xdr:row>
      <xdr:rowOff>58616</xdr:rowOff>
    </xdr:to>
    <xdr:cxnSp macro="">
      <xdr:nvCxnSpPr>
        <xdr:cNvPr id="19" name="Connecteur droit 18"/>
        <xdr:cNvCxnSpPr>
          <a:stCxn id="16" idx="3"/>
        </xdr:cNvCxnSpPr>
      </xdr:nvCxnSpPr>
      <xdr:spPr>
        <a:xfrm>
          <a:off x="1362075" y="5366239"/>
          <a:ext cx="3730137" cy="1172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Feuil1"/>
  <dimension ref="B4:D12"/>
  <sheetViews>
    <sheetView topLeftCell="A10" workbookViewId="0">
      <selection activeCell="B5" sqref="B5:D12"/>
    </sheetView>
  </sheetViews>
  <sheetFormatPr baseColWidth="10" defaultRowHeight="15"/>
  <cols>
    <col min="2" max="2" width="22.7109375" customWidth="1"/>
    <col min="3" max="3" width="23" customWidth="1"/>
    <col min="4" max="4" width="23.5703125" customWidth="1"/>
  </cols>
  <sheetData>
    <row r="4" spans="2:4" ht="15.75" thickBot="1"/>
    <row r="5" spans="2:4" ht="16.5" thickBot="1">
      <c r="B5" s="1" t="s">
        <v>0</v>
      </c>
      <c r="C5" s="2" t="s">
        <v>1</v>
      </c>
      <c r="D5" s="2" t="s">
        <v>2</v>
      </c>
    </row>
    <row r="6" spans="2:4" ht="16.5" thickBot="1">
      <c r="B6" s="3" t="s">
        <v>3</v>
      </c>
      <c r="C6" s="4" t="s">
        <v>4</v>
      </c>
      <c r="D6" s="4">
        <v>17</v>
      </c>
    </row>
    <row r="7" spans="2:4" ht="16.5" thickBot="1">
      <c r="B7" s="3" t="s">
        <v>5</v>
      </c>
      <c r="C7" s="4" t="s">
        <v>6</v>
      </c>
      <c r="D7" s="4">
        <v>135</v>
      </c>
    </row>
    <row r="8" spans="2:4" ht="31.5" thickBot="1">
      <c r="B8" s="3" t="s">
        <v>7</v>
      </c>
      <c r="C8" s="4" t="s">
        <v>8</v>
      </c>
      <c r="D8" s="4">
        <v>21</v>
      </c>
    </row>
    <row r="9" spans="2:4" ht="31.5" thickBot="1">
      <c r="B9" s="3" t="s">
        <v>9</v>
      </c>
      <c r="C9" s="4" t="s">
        <v>10</v>
      </c>
      <c r="D9" s="4">
        <v>58</v>
      </c>
    </row>
    <row r="10" spans="2:4" ht="31.5" thickBot="1">
      <c r="B10" s="3" t="s">
        <v>11</v>
      </c>
      <c r="C10" s="4" t="s">
        <v>12</v>
      </c>
      <c r="D10" s="4">
        <v>65</v>
      </c>
    </row>
    <row r="11" spans="2:4" ht="16.5" thickBot="1">
      <c r="B11" s="3" t="s">
        <v>13</v>
      </c>
      <c r="C11" s="4" t="s">
        <v>14</v>
      </c>
      <c r="D11" s="4">
        <v>19</v>
      </c>
    </row>
    <row r="12" spans="2:4" ht="16.5" thickBot="1">
      <c r="B12" s="3" t="s">
        <v>15</v>
      </c>
      <c r="C12" s="4" t="s">
        <v>16</v>
      </c>
      <c r="D12" s="4">
        <v>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euil2"/>
  <dimension ref="B3:F47"/>
  <sheetViews>
    <sheetView tabSelected="1" workbookViewId="0">
      <selection activeCell="G15" sqref="G15"/>
    </sheetView>
  </sheetViews>
  <sheetFormatPr baseColWidth="10" defaultRowHeight="15"/>
  <cols>
    <col min="1" max="1" width="11.42578125" style="5"/>
    <col min="2" max="2" width="27.5703125" style="5" customWidth="1"/>
    <col min="3" max="3" width="35" style="5" customWidth="1"/>
    <col min="4" max="4" width="26.140625" style="5" customWidth="1"/>
    <col min="5" max="5" width="24.7109375" style="5" customWidth="1"/>
    <col min="6" max="6" width="19.85546875" style="5" customWidth="1"/>
    <col min="7" max="16384" width="11.42578125" style="5"/>
  </cols>
  <sheetData>
    <row r="3" spans="2:6" ht="15.75" thickBot="1"/>
    <row r="4" spans="2:6" ht="24.95" customHeight="1" thickBot="1">
      <c r="B4" s="6" t="s">
        <v>0</v>
      </c>
      <c r="C4" s="6" t="s">
        <v>1</v>
      </c>
      <c r="D4" s="6" t="s">
        <v>2</v>
      </c>
      <c r="E4" s="6" t="s">
        <v>17</v>
      </c>
      <c r="F4" s="6" t="s">
        <v>18</v>
      </c>
    </row>
    <row r="5" spans="2:6" ht="24.95" hidden="1" customHeight="1" thickBot="1">
      <c r="B5" s="7"/>
      <c r="C5" s="8"/>
      <c r="D5" s="8"/>
      <c r="E5" s="15"/>
      <c r="F5" s="9"/>
    </row>
    <row r="6" spans="2:6" ht="24.95" customHeight="1" thickBot="1">
      <c r="B6" s="10" t="s">
        <v>5</v>
      </c>
      <c r="C6" s="10" t="s">
        <v>6</v>
      </c>
      <c r="D6" s="10">
        <v>135</v>
      </c>
      <c r="E6" s="16">
        <f>D6*100/D$13</f>
        <v>37.5</v>
      </c>
      <c r="F6" s="16">
        <f>E6+F5</f>
        <v>37.5</v>
      </c>
    </row>
    <row r="7" spans="2:6" ht="24.95" customHeight="1" thickBot="1">
      <c r="B7" s="10" t="s">
        <v>11</v>
      </c>
      <c r="C7" s="10" t="s">
        <v>12</v>
      </c>
      <c r="D7" s="10">
        <v>65</v>
      </c>
      <c r="E7" s="16">
        <f t="shared" ref="E7:E12" si="0">D7*100/D$13</f>
        <v>18.055555555555557</v>
      </c>
      <c r="F7" s="16">
        <f t="shared" ref="F7:F12" si="1">E7+F6</f>
        <v>55.555555555555557</v>
      </c>
    </row>
    <row r="8" spans="2:6" ht="24.95" customHeight="1" thickBot="1">
      <c r="B8" s="10" t="s">
        <v>9</v>
      </c>
      <c r="C8" s="10" t="s">
        <v>10</v>
      </c>
      <c r="D8" s="10">
        <v>58</v>
      </c>
      <c r="E8" s="16">
        <f t="shared" si="0"/>
        <v>16.111111111111111</v>
      </c>
      <c r="F8" s="16">
        <f t="shared" si="1"/>
        <v>71.666666666666671</v>
      </c>
    </row>
    <row r="9" spans="2:6" ht="24.95" customHeight="1" thickBot="1">
      <c r="B9" s="10" t="s">
        <v>15</v>
      </c>
      <c r="C9" s="10" t="s">
        <v>16</v>
      </c>
      <c r="D9" s="10">
        <v>45</v>
      </c>
      <c r="E9" s="16">
        <f t="shared" si="0"/>
        <v>12.5</v>
      </c>
      <c r="F9" s="16">
        <f t="shared" si="1"/>
        <v>84.166666666666671</v>
      </c>
    </row>
    <row r="10" spans="2:6" ht="24.95" customHeight="1" thickBot="1">
      <c r="B10" s="10" t="s">
        <v>7</v>
      </c>
      <c r="C10" s="10" t="s">
        <v>8</v>
      </c>
      <c r="D10" s="10">
        <v>21</v>
      </c>
      <c r="E10" s="16">
        <f t="shared" si="0"/>
        <v>5.833333333333333</v>
      </c>
      <c r="F10" s="16">
        <f t="shared" si="1"/>
        <v>90</v>
      </c>
    </row>
    <row r="11" spans="2:6" ht="24.95" customHeight="1" thickBot="1">
      <c r="B11" s="10" t="s">
        <v>13</v>
      </c>
      <c r="C11" s="10" t="s">
        <v>14</v>
      </c>
      <c r="D11" s="10">
        <v>19</v>
      </c>
      <c r="E11" s="16">
        <f t="shared" si="0"/>
        <v>5.2777777777777777</v>
      </c>
      <c r="F11" s="16">
        <f t="shared" si="1"/>
        <v>95.277777777777771</v>
      </c>
    </row>
    <row r="12" spans="2:6" ht="24.95" customHeight="1" thickBot="1">
      <c r="B12" s="10" t="s">
        <v>3</v>
      </c>
      <c r="C12" s="10" t="s">
        <v>4</v>
      </c>
      <c r="D12" s="10">
        <v>17</v>
      </c>
      <c r="E12" s="16">
        <f t="shared" si="0"/>
        <v>4.7222222222222223</v>
      </c>
      <c r="F12" s="16">
        <f t="shared" si="1"/>
        <v>100</v>
      </c>
    </row>
    <row r="13" spans="2:6" ht="24.95" customHeight="1" thickBot="1">
      <c r="B13" s="11"/>
      <c r="C13" s="11"/>
      <c r="D13" s="12">
        <f>SUM(D6:D12)</f>
        <v>360</v>
      </c>
      <c r="E13" s="14" t="s">
        <v>19</v>
      </c>
      <c r="F13" s="17"/>
    </row>
    <row r="14" spans="2:6">
      <c r="B14" s="11"/>
      <c r="C14" s="11"/>
      <c r="D14" s="11"/>
      <c r="E14" s="18"/>
      <c r="F14" s="18"/>
    </row>
    <row r="15" spans="2:6">
      <c r="B15" s="11"/>
      <c r="C15" s="11"/>
      <c r="D15" s="11"/>
      <c r="E15" s="18"/>
      <c r="F15" s="18"/>
    </row>
    <row r="43" spans="2:3" ht="15.75">
      <c r="B43" s="13" t="s">
        <v>20</v>
      </c>
    </row>
    <row r="45" spans="2:3">
      <c r="C45" s="5" t="s">
        <v>22</v>
      </c>
    </row>
    <row r="46" spans="2:3">
      <c r="C46" s="5" t="s">
        <v>21</v>
      </c>
    </row>
    <row r="47" spans="2:3">
      <c r="C47" s="5" t="s">
        <v>23</v>
      </c>
    </row>
  </sheetData>
  <sortState ref="B5:D11">
    <sortCondition descending="1" ref="D5"/>
  </sortState>
  <mergeCells count="1">
    <mergeCell ref="E13:F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Feuil3"/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</dc:creator>
  <cp:lastModifiedBy>steph</cp:lastModifiedBy>
  <dcterms:created xsi:type="dcterms:W3CDTF">2024-09-14T15:12:06Z</dcterms:created>
  <dcterms:modified xsi:type="dcterms:W3CDTF">2024-09-15T07:51:07Z</dcterms:modified>
</cp:coreProperties>
</file>