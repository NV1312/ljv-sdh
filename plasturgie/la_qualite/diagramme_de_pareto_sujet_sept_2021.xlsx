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9735" activeTab="1"/>
  </bookViews>
  <sheets>
    <sheet name="énoncé" sheetId="4" r:id="rId1"/>
    <sheet name="réponses" sheetId="1" r:id="rId2"/>
  </sheets>
  <calcPr calcId="124519"/>
</workbook>
</file>

<file path=xl/calcChain.xml><?xml version="1.0" encoding="utf-8"?>
<calcChain xmlns="http://schemas.openxmlformats.org/spreadsheetml/2006/main">
  <c r="E16" i="1"/>
  <c r="E14"/>
  <c r="E12"/>
  <c r="E15"/>
  <c r="E17"/>
  <c r="E13"/>
  <c r="E18"/>
  <c r="E9"/>
  <c r="E8"/>
  <c r="E7"/>
  <c r="E6"/>
  <c r="E5"/>
  <c r="E4"/>
  <c r="E3"/>
  <c r="E19" l="1"/>
  <c r="F17" s="1"/>
  <c r="F16" l="1"/>
  <c r="F12"/>
  <c r="G12" s="1"/>
  <c r="G13" s="1"/>
  <c r="F13"/>
  <c r="F18"/>
  <c r="F14"/>
  <c r="F15"/>
  <c r="G14" l="1"/>
  <c r="G15" s="1"/>
  <c r="G16" s="1"/>
  <c r="G17" s="1"/>
  <c r="G18" s="1"/>
</calcChain>
</file>

<file path=xl/sharedStrings.xml><?xml version="1.0" encoding="utf-8"?>
<sst xmlns="http://schemas.openxmlformats.org/spreadsheetml/2006/main" count="49" uniqueCount="27">
  <si>
    <t>PLAD</t>
  </si>
  <si>
    <t>POID</t>
  </si>
  <si>
    <t>GCC</t>
  </si>
  <si>
    <t>MD</t>
  </si>
  <si>
    <t>ICI</t>
  </si>
  <si>
    <t>DUC</t>
  </si>
  <si>
    <t>DDC</t>
  </si>
  <si>
    <t>Défaut</t>
  </si>
  <si>
    <t>Repère défaut</t>
  </si>
  <si>
    <t>Nombre</t>
  </si>
  <si>
    <t>Coût d'un rebut en euros</t>
  </si>
  <si>
    <t>Coût total par défaut</t>
  </si>
  <si>
    <t>Planéité dérive</t>
  </si>
  <si>
    <t>Poids dérive</t>
  </si>
  <si>
    <t>Frisure gel-coat coque</t>
  </si>
  <si>
    <t>Moussage dérive</t>
  </si>
  <si>
    <t>Infusion coque incomplète</t>
  </si>
  <si>
    <t>Défaut usinage coque</t>
  </si>
  <si>
    <t>Défaut démoulage coque</t>
  </si>
  <si>
    <t>Afin de réduire les coûts de non-qualité, l'entreprise souhaite améliorer la fiabilité de son process de fabrication des « Optimists ». Pour définir les axes d'amélioration, le service qualité a effectué, pendant 3 mois, des relevés des défauts de fabrication et des coûts de non-qualité correspondants.</t>
  </si>
  <si>
    <t>Les défauts qui occasionnent au moins 80% des rebuts de production sont:</t>
  </si>
  <si>
    <t>Coût rebuts en euros</t>
  </si>
  <si>
    <t>Pourcentage</t>
  </si>
  <si>
    <t>Pourcentage cumulé</t>
  </si>
  <si>
    <t xml:space="preserve">   </t>
  </si>
  <si>
    <t>Nbre</t>
  </si>
  <si>
    <t>Coût rebut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</si>
</sst>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24994659260841701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5"/>
    </xf>
    <xf numFmtId="0" fontId="2" fillId="2" borderId="2" xfId="0" applyFont="1" applyFill="1" applyBorder="1" applyAlignment="1">
      <alignment horizontal="left" vertical="top" wrapText="1" indent="3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5" xfId="0" applyBorder="1"/>
    <xf numFmtId="2" fontId="0" fillId="0" borderId="5" xfId="0" applyNumberFormat="1" applyBorder="1"/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barChart>
        <c:barDir val="col"/>
        <c:grouping val="clustered"/>
        <c:ser>
          <c:idx val="0"/>
          <c:order val="0"/>
          <c:cat>
            <c:strRef>
              <c:f>réponses!$B$12:$B$18</c:f>
              <c:strCache>
                <c:ptCount val="7"/>
                <c:pt idx="0">
                  <c:v>ICI</c:v>
                </c:pt>
                <c:pt idx="1">
                  <c:v>POID</c:v>
                </c:pt>
                <c:pt idx="2">
                  <c:v>DUC</c:v>
                </c:pt>
                <c:pt idx="3">
                  <c:v>MD</c:v>
                </c:pt>
                <c:pt idx="4">
                  <c:v>DDC</c:v>
                </c:pt>
                <c:pt idx="5">
                  <c:v>GCC</c:v>
                </c:pt>
                <c:pt idx="6">
                  <c:v>PLAD</c:v>
                </c:pt>
              </c:strCache>
            </c:strRef>
          </c:cat>
          <c:val>
            <c:numRef>
              <c:f>réponses!$G$12:$G$18</c:f>
              <c:numCache>
                <c:formatCode>0.00</c:formatCode>
                <c:ptCount val="7"/>
                <c:pt idx="0">
                  <c:v>46.025092988397269</c:v>
                </c:pt>
                <c:pt idx="1">
                  <c:v>63.262643646255484</c:v>
                </c:pt>
                <c:pt idx="2">
                  <c:v>73.838338977405215</c:v>
                </c:pt>
                <c:pt idx="3">
                  <c:v>83.05668128573808</c:v>
                </c:pt>
                <c:pt idx="4">
                  <c:v>91.023149947260322</c:v>
                </c:pt>
                <c:pt idx="5">
                  <c:v>96.619108421695458</c:v>
                </c:pt>
                <c:pt idx="6">
                  <c:v>100.00000000000001</c:v>
                </c:pt>
              </c:numCache>
            </c:numRef>
          </c:val>
        </c:ser>
        <c:axId val="89146496"/>
        <c:axId val="89148032"/>
      </c:barChart>
      <c:catAx>
        <c:axId val="89146496"/>
        <c:scaling>
          <c:orientation val="minMax"/>
        </c:scaling>
        <c:axPos val="b"/>
        <c:tickLblPos val="nextTo"/>
        <c:crossAx val="89148032"/>
        <c:crosses val="autoZero"/>
        <c:auto val="1"/>
        <c:lblAlgn val="ctr"/>
        <c:lblOffset val="100"/>
      </c:catAx>
      <c:valAx>
        <c:axId val="89148032"/>
        <c:scaling>
          <c:orientation val="minMax"/>
          <c:max val="100"/>
        </c:scaling>
        <c:axPos val="l"/>
        <c:majorGridlines/>
        <c:numFmt formatCode="0.00" sourceLinked="1"/>
        <c:tickLblPos val="nextTo"/>
        <c:crossAx val="89146496"/>
        <c:crosses val="autoZero"/>
        <c:crossBetween val="between"/>
      </c:valAx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style val="4"/>
  <c:chart>
    <c:plotArea>
      <c:layout/>
      <c:lineChart>
        <c:grouping val="standard"/>
        <c:ser>
          <c:idx val="0"/>
          <c:order val="0"/>
          <c:marker>
            <c:symbol val="none"/>
          </c:marker>
          <c:cat>
            <c:strRef>
              <c:f>réponses!$B$12:$B$18</c:f>
              <c:strCache>
                <c:ptCount val="7"/>
                <c:pt idx="0">
                  <c:v>ICI</c:v>
                </c:pt>
                <c:pt idx="1">
                  <c:v>POID</c:v>
                </c:pt>
                <c:pt idx="2">
                  <c:v>DUC</c:v>
                </c:pt>
                <c:pt idx="3">
                  <c:v>MD</c:v>
                </c:pt>
                <c:pt idx="4">
                  <c:v>DDC</c:v>
                </c:pt>
                <c:pt idx="5">
                  <c:v>GCC</c:v>
                </c:pt>
                <c:pt idx="6">
                  <c:v>PLAD</c:v>
                </c:pt>
              </c:strCache>
            </c:strRef>
          </c:cat>
          <c:val>
            <c:numRef>
              <c:f>réponses!$G$12:$G$18</c:f>
              <c:numCache>
                <c:formatCode>0.00</c:formatCode>
                <c:ptCount val="7"/>
                <c:pt idx="0">
                  <c:v>46.025092988397269</c:v>
                </c:pt>
                <c:pt idx="1">
                  <c:v>63.262643646255484</c:v>
                </c:pt>
                <c:pt idx="2">
                  <c:v>73.838338977405215</c:v>
                </c:pt>
                <c:pt idx="3">
                  <c:v>83.05668128573808</c:v>
                </c:pt>
                <c:pt idx="4">
                  <c:v>91.023149947260322</c:v>
                </c:pt>
                <c:pt idx="5">
                  <c:v>96.619108421695458</c:v>
                </c:pt>
                <c:pt idx="6">
                  <c:v>100.00000000000001</c:v>
                </c:pt>
              </c:numCache>
            </c:numRef>
          </c:val>
        </c:ser>
        <c:marker val="1"/>
        <c:axId val="89187840"/>
        <c:axId val="89189376"/>
      </c:lineChart>
      <c:catAx>
        <c:axId val="89187840"/>
        <c:scaling>
          <c:orientation val="minMax"/>
        </c:scaling>
        <c:axPos val="b"/>
        <c:tickLblPos val="nextTo"/>
        <c:crossAx val="89189376"/>
        <c:crosses val="autoZero"/>
        <c:auto val="1"/>
        <c:lblAlgn val="ctr"/>
        <c:lblOffset val="100"/>
      </c:catAx>
      <c:valAx>
        <c:axId val="89189376"/>
        <c:scaling>
          <c:orientation val="minMax"/>
          <c:max val="100"/>
        </c:scaling>
        <c:axPos val="l"/>
        <c:majorGridlines/>
        <c:numFmt formatCode="0.00" sourceLinked="1"/>
        <c:tickLblPos val="nextTo"/>
        <c:crossAx val="89187840"/>
        <c:crosses val="autoZero"/>
        <c:crossBetween val="between"/>
      </c:valAx>
      <c:spPr>
        <a:noFill/>
      </c:spPr>
    </c:plotArea>
    <c:plotVisOnly val="1"/>
  </c:chart>
  <c:spPr>
    <a:noFill/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8</xdr:col>
      <xdr:colOff>76200</xdr:colOff>
      <xdr:row>39</xdr:row>
      <xdr:rowOff>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8</xdr:col>
      <xdr:colOff>76200</xdr:colOff>
      <xdr:row>39</xdr:row>
      <xdr:rowOff>0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554182</xdr:colOff>
      <xdr:row>24</xdr:row>
      <xdr:rowOff>109904</xdr:rowOff>
    </xdr:from>
    <xdr:to>
      <xdr:col>4</xdr:col>
      <xdr:colOff>527538</xdr:colOff>
      <xdr:row>24</xdr:row>
      <xdr:rowOff>124691</xdr:rowOff>
    </xdr:to>
    <xdr:cxnSp macro="">
      <xdr:nvCxnSpPr>
        <xdr:cNvPr id="12" name="Connecteur droit 11"/>
        <xdr:cNvCxnSpPr/>
      </xdr:nvCxnSpPr>
      <xdr:spPr>
        <a:xfrm flipV="1">
          <a:off x="1316182" y="4835769"/>
          <a:ext cx="2676991" cy="14787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490906</xdr:colOff>
      <xdr:row>24</xdr:row>
      <xdr:rowOff>87255</xdr:rowOff>
    </xdr:from>
    <xdr:to>
      <xdr:col>4</xdr:col>
      <xdr:colOff>498898</xdr:colOff>
      <xdr:row>37</xdr:row>
      <xdr:rowOff>7329</xdr:rowOff>
    </xdr:to>
    <xdr:cxnSp macro="">
      <xdr:nvCxnSpPr>
        <xdr:cNvPr id="17" name="Connecteur droit 16"/>
        <xdr:cNvCxnSpPr/>
      </xdr:nvCxnSpPr>
      <xdr:spPr>
        <a:xfrm rot="5400000">
          <a:off x="2762250" y="6007411"/>
          <a:ext cx="2396574" cy="7992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73269</xdr:colOff>
      <xdr:row>23</xdr:row>
      <xdr:rowOff>168520</xdr:rowOff>
    </xdr:from>
    <xdr:to>
      <xdr:col>1</xdr:col>
      <xdr:colOff>571500</xdr:colOff>
      <xdr:row>25</xdr:row>
      <xdr:rowOff>87924</xdr:rowOff>
    </xdr:to>
    <xdr:sp macro="" textlink="">
      <xdr:nvSpPr>
        <xdr:cNvPr id="20" name="Rectangle 19"/>
        <xdr:cNvSpPr/>
      </xdr:nvSpPr>
      <xdr:spPr>
        <a:xfrm>
          <a:off x="835269" y="4740520"/>
          <a:ext cx="498231" cy="300404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selection activeCell="B34" sqref="B34"/>
    </sheetView>
  </sheetViews>
  <sheetFormatPr baseColWidth="10" defaultRowHeight="15"/>
  <cols>
    <col min="1" max="1" width="30" customWidth="1"/>
    <col min="2" max="2" width="12.7109375" customWidth="1"/>
    <col min="4" max="4" width="35.5703125" customWidth="1"/>
    <col min="5" max="5" width="22.7109375" customWidth="1"/>
  </cols>
  <sheetData>
    <row r="1" spans="1:5" ht="64.5" customHeight="1">
      <c r="A1" s="11" t="s">
        <v>19</v>
      </c>
      <c r="B1" s="11"/>
      <c r="C1" s="11"/>
      <c r="D1" s="11"/>
      <c r="E1" s="11"/>
    </row>
    <row r="2" spans="1:5" ht="15.75" thickBot="1"/>
    <row r="3" spans="1:5" ht="20.100000000000001" customHeight="1" thickBot="1">
      <c r="A3" s="1" t="s">
        <v>7</v>
      </c>
      <c r="B3" s="2" t="s">
        <v>8</v>
      </c>
      <c r="C3" s="2" t="s">
        <v>9</v>
      </c>
      <c r="D3" s="3" t="s">
        <v>10</v>
      </c>
      <c r="E3" s="4" t="s">
        <v>11</v>
      </c>
    </row>
    <row r="4" spans="1:5" ht="20.100000000000001" customHeight="1" thickBot="1">
      <c r="A4" s="5" t="s">
        <v>12</v>
      </c>
      <c r="B4" s="6" t="s">
        <v>0</v>
      </c>
      <c r="C4" s="6">
        <v>21</v>
      </c>
      <c r="D4" s="6">
        <v>0.57999999999999996</v>
      </c>
      <c r="E4" s="7"/>
    </row>
    <row r="5" spans="1:5" ht="20.100000000000001" customHeight="1" thickBot="1">
      <c r="A5" s="5" t="s">
        <v>13</v>
      </c>
      <c r="B5" s="6" t="s">
        <v>1</v>
      </c>
      <c r="C5" s="6">
        <v>30</v>
      </c>
      <c r="D5" s="6">
        <v>2.0699999999999998</v>
      </c>
      <c r="E5" s="7"/>
    </row>
    <row r="6" spans="1:5" ht="20.100000000000001" customHeight="1" thickBot="1">
      <c r="A6" s="5" t="s">
        <v>14</v>
      </c>
      <c r="B6" s="6" t="s">
        <v>2</v>
      </c>
      <c r="C6" s="6">
        <v>18</v>
      </c>
      <c r="D6" s="6">
        <v>1.1200000000000001</v>
      </c>
      <c r="E6" s="7"/>
    </row>
    <row r="7" spans="1:5" ht="20.100000000000001" customHeight="1" thickBot="1">
      <c r="A7" s="5" t="s">
        <v>15</v>
      </c>
      <c r="B7" s="6" t="s">
        <v>3</v>
      </c>
      <c r="C7" s="6">
        <v>27</v>
      </c>
      <c r="D7" s="6">
        <v>1.23</v>
      </c>
      <c r="E7" s="7"/>
    </row>
    <row r="8" spans="1:5" ht="20.100000000000001" customHeight="1" thickBot="1">
      <c r="A8" s="5" t="s">
        <v>16</v>
      </c>
      <c r="B8" s="6" t="s">
        <v>4</v>
      </c>
      <c r="C8" s="6">
        <v>3</v>
      </c>
      <c r="D8" s="6">
        <v>55.27</v>
      </c>
      <c r="E8" s="7"/>
    </row>
    <row r="9" spans="1:5" ht="20.100000000000001" customHeight="1" thickBot="1">
      <c r="A9" s="5" t="s">
        <v>17</v>
      </c>
      <c r="B9" s="6" t="s">
        <v>5</v>
      </c>
      <c r="C9" s="6">
        <v>10</v>
      </c>
      <c r="D9" s="6">
        <v>3.81</v>
      </c>
      <c r="E9" s="7"/>
    </row>
    <row r="10" spans="1:5" ht="20.100000000000001" customHeight="1" thickBot="1">
      <c r="A10" s="5" t="s">
        <v>18</v>
      </c>
      <c r="B10" s="6" t="s">
        <v>6</v>
      </c>
      <c r="C10" s="6">
        <v>5</v>
      </c>
      <c r="D10" s="6">
        <v>5.74</v>
      </c>
      <c r="E10" s="7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H48"/>
  <sheetViews>
    <sheetView tabSelected="1" zoomScale="130" zoomScaleNormal="130" workbookViewId="0">
      <selection activeCell="E2" sqref="B2:E2"/>
    </sheetView>
  </sheetViews>
  <sheetFormatPr baseColWidth="10" defaultRowHeight="15"/>
  <cols>
    <col min="4" max="4" width="17.7109375" customWidth="1"/>
    <col min="5" max="5" width="18.5703125" customWidth="1"/>
    <col min="6" max="6" width="12.28515625" customWidth="1"/>
    <col min="7" max="7" width="12.140625" customWidth="1"/>
  </cols>
  <sheetData>
    <row r="2" spans="2:8">
      <c r="B2" s="14" t="s">
        <v>8</v>
      </c>
      <c r="C2" s="14" t="s">
        <v>25</v>
      </c>
      <c r="D2" s="14" t="s">
        <v>26</v>
      </c>
      <c r="E2" s="14" t="s">
        <v>11</v>
      </c>
    </row>
    <row r="3" spans="2:8">
      <c r="B3" s="9" t="s">
        <v>0</v>
      </c>
      <c r="C3" s="9">
        <v>21</v>
      </c>
      <c r="D3" s="9">
        <v>0.57999999999999996</v>
      </c>
      <c r="E3" s="9">
        <f>D3*C3</f>
        <v>12.18</v>
      </c>
    </row>
    <row r="4" spans="2:8">
      <c r="B4" s="9" t="s">
        <v>1</v>
      </c>
      <c r="C4" s="9">
        <v>30</v>
      </c>
      <c r="D4" s="9">
        <v>2.0699999999999998</v>
      </c>
      <c r="E4" s="9">
        <f t="shared" ref="E4:E9" si="0">D4*C4</f>
        <v>62.099999999999994</v>
      </c>
    </row>
    <row r="5" spans="2:8">
      <c r="B5" s="9" t="s">
        <v>2</v>
      </c>
      <c r="C5" s="9">
        <v>18</v>
      </c>
      <c r="D5" s="9">
        <v>1.1200000000000001</v>
      </c>
      <c r="E5" s="9">
        <f t="shared" si="0"/>
        <v>20.160000000000004</v>
      </c>
    </row>
    <row r="6" spans="2:8">
      <c r="B6" s="9" t="s">
        <v>3</v>
      </c>
      <c r="C6" s="9">
        <v>27</v>
      </c>
      <c r="D6" s="9">
        <v>1.23</v>
      </c>
      <c r="E6" s="9">
        <f t="shared" si="0"/>
        <v>33.21</v>
      </c>
    </row>
    <row r="7" spans="2:8">
      <c r="B7" s="9" t="s">
        <v>4</v>
      </c>
      <c r="C7" s="9">
        <v>3</v>
      </c>
      <c r="D7" s="9">
        <v>55.27</v>
      </c>
      <c r="E7" s="9">
        <f t="shared" si="0"/>
        <v>165.81</v>
      </c>
    </row>
    <row r="8" spans="2:8">
      <c r="B8" s="9" t="s">
        <v>5</v>
      </c>
      <c r="C8" s="9">
        <v>10</v>
      </c>
      <c r="D8" s="9">
        <v>3.81</v>
      </c>
      <c r="E8" s="9">
        <f t="shared" si="0"/>
        <v>38.1</v>
      </c>
    </row>
    <row r="9" spans="2:8">
      <c r="B9" s="9" t="s">
        <v>6</v>
      </c>
      <c r="C9" s="9">
        <v>5</v>
      </c>
      <c r="D9" s="9">
        <v>5.74</v>
      </c>
      <c r="E9" s="9">
        <f t="shared" si="0"/>
        <v>28.700000000000003</v>
      </c>
    </row>
    <row r="10" spans="2:8" ht="15.75" thickBot="1"/>
    <row r="11" spans="2:8" s="8" customFormat="1" ht="26.25" thickBot="1">
      <c r="B11" s="12" t="s">
        <v>8</v>
      </c>
      <c r="C11" s="12" t="s">
        <v>7</v>
      </c>
      <c r="D11" s="12" t="s">
        <v>21</v>
      </c>
      <c r="E11" s="12" t="s">
        <v>11</v>
      </c>
      <c r="F11" s="12" t="s">
        <v>22</v>
      </c>
      <c r="G11" s="12" t="s">
        <v>23</v>
      </c>
      <c r="H11" s="13" t="s">
        <v>24</v>
      </c>
    </row>
    <row r="12" spans="2:8">
      <c r="B12" s="9" t="s">
        <v>4</v>
      </c>
      <c r="C12" s="9">
        <v>3</v>
      </c>
      <c r="D12" s="9">
        <v>55.27</v>
      </c>
      <c r="E12" s="9">
        <f t="shared" ref="E12:E18" si="1">D12*C12</f>
        <v>165.81</v>
      </c>
      <c r="F12" s="10">
        <f>E12*100/$E19</f>
        <v>46.025092988397269</v>
      </c>
      <c r="G12" s="10">
        <f>F12</f>
        <v>46.025092988397269</v>
      </c>
    </row>
    <row r="13" spans="2:8">
      <c r="B13" s="9" t="s">
        <v>1</v>
      </c>
      <c r="C13" s="9">
        <v>30</v>
      </c>
      <c r="D13" s="9">
        <v>2.0699999999999998</v>
      </c>
      <c r="E13" s="9">
        <f t="shared" si="1"/>
        <v>62.099999999999994</v>
      </c>
      <c r="F13" s="10">
        <f>E13*100/$E19</f>
        <v>17.237550657858211</v>
      </c>
      <c r="G13" s="10">
        <f>G12+F13</f>
        <v>63.262643646255484</v>
      </c>
    </row>
    <row r="14" spans="2:8">
      <c r="B14" s="9" t="s">
        <v>5</v>
      </c>
      <c r="C14" s="9">
        <v>10</v>
      </c>
      <c r="D14" s="9">
        <v>3.81</v>
      </c>
      <c r="E14" s="9">
        <f t="shared" si="1"/>
        <v>38.1</v>
      </c>
      <c r="F14" s="10">
        <f>E14*100/$E19</f>
        <v>10.575695331149726</v>
      </c>
      <c r="G14" s="10">
        <f>G13+F14</f>
        <v>73.838338977405215</v>
      </c>
    </row>
    <row r="15" spans="2:8">
      <c r="B15" s="9" t="s">
        <v>3</v>
      </c>
      <c r="C15" s="9">
        <v>27</v>
      </c>
      <c r="D15" s="9">
        <v>1.23</v>
      </c>
      <c r="E15" s="9">
        <f t="shared" si="1"/>
        <v>33.21</v>
      </c>
      <c r="F15" s="10">
        <f>E15*100/$E19</f>
        <v>9.2183423083328702</v>
      </c>
      <c r="G15" s="10">
        <f>G14+F15</f>
        <v>83.05668128573808</v>
      </c>
    </row>
    <row r="16" spans="2:8">
      <c r="B16" s="9" t="s">
        <v>6</v>
      </c>
      <c r="C16" s="9">
        <v>5</v>
      </c>
      <c r="D16" s="9">
        <v>5.74</v>
      </c>
      <c r="E16" s="9">
        <f t="shared" si="1"/>
        <v>28.700000000000003</v>
      </c>
      <c r="F16" s="10">
        <f>E16*100/$E19</f>
        <v>7.9664686615222351</v>
      </c>
      <c r="G16" s="10">
        <f>G15+F16</f>
        <v>91.023149947260322</v>
      </c>
    </row>
    <row r="17" spans="2:7">
      <c r="B17" s="9" t="s">
        <v>2</v>
      </c>
      <c r="C17" s="9">
        <v>18</v>
      </c>
      <c r="D17" s="9">
        <v>1.1200000000000001</v>
      </c>
      <c r="E17" s="9">
        <f t="shared" si="1"/>
        <v>20.160000000000004</v>
      </c>
      <c r="F17" s="10">
        <f>E17*100/$E19</f>
        <v>5.5959584744351316</v>
      </c>
      <c r="G17" s="10">
        <f>G16+F17</f>
        <v>96.619108421695458</v>
      </c>
    </row>
    <row r="18" spans="2:7">
      <c r="B18" s="9" t="s">
        <v>0</v>
      </c>
      <c r="C18" s="9">
        <v>21</v>
      </c>
      <c r="D18" s="9">
        <v>0.57999999999999996</v>
      </c>
      <c r="E18" s="9">
        <f t="shared" si="1"/>
        <v>12.18</v>
      </c>
      <c r="F18" s="10">
        <f>E18*100/$E19</f>
        <v>3.3808915783045581</v>
      </c>
      <c r="G18" s="10">
        <f>G17+F18</f>
        <v>100.00000000000001</v>
      </c>
    </row>
    <row r="19" spans="2:7">
      <c r="E19">
        <f>SUM(E12:E18)</f>
        <v>360.26</v>
      </c>
    </row>
    <row r="44" spans="2:4">
      <c r="B44" t="s">
        <v>20</v>
      </c>
    </row>
    <row r="46" spans="2:4">
      <c r="D46" t="s">
        <v>4</v>
      </c>
    </row>
    <row r="47" spans="2:4">
      <c r="D47" t="s">
        <v>1</v>
      </c>
    </row>
    <row r="48" spans="2:4">
      <c r="D48" t="s">
        <v>5</v>
      </c>
    </row>
  </sheetData>
  <sortState ref="B13:E19">
    <sortCondition descending="1" ref="E13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énoncé</vt:lpstr>
      <vt:lpstr>réponses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</dc:creator>
  <cp:lastModifiedBy>steph</cp:lastModifiedBy>
  <cp:lastPrinted>2024-09-30T11:56:33Z</cp:lastPrinted>
  <dcterms:created xsi:type="dcterms:W3CDTF">2024-09-23T13:39:33Z</dcterms:created>
  <dcterms:modified xsi:type="dcterms:W3CDTF">2024-09-30T12:12:43Z</dcterms:modified>
</cp:coreProperties>
</file>